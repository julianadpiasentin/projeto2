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2f55498ed39b5ac3/Documentos/"/>
    </mc:Choice>
  </mc:AlternateContent>
  <xr:revisionPtr revIDLastSave="335" documentId="8_{544F9620-F211-4145-91DF-4F4F418B8DEB}" xr6:coauthVersionLast="47" xr6:coauthVersionMax="47" xr10:uidLastSave="{BE770A87-C268-49EB-B2AB-50484C76381A}"/>
  <bookViews>
    <workbookView xWindow="28680" yWindow="-30" windowWidth="38640" windowHeight="15720" tabRatio="234" firstSheet="1" activeTab="2" xr2:uid="{728956B4-99DA-49F7-AD0C-904A25AB63B2}"/>
  </bookViews>
  <sheets>
    <sheet name="TITULAR" sheetId="1" r:id="rId1"/>
    <sheet name="INFORMES" sheetId="2" r:id="rId2"/>
    <sheet name="NOTAS" sheetId="3" r:id="rId3"/>
    <sheet name="TABELAS" sheetId="4" r:id="rId4"/>
  </sheets>
  <definedNames>
    <definedName name="_xlchart.v1.0" hidden="1">NOTAS!$D$10:$D$15</definedName>
    <definedName name="_xlchart.v1.1" hidden="1">NOTAS!$E$10:$E$15</definedName>
    <definedName name="_xlchart.v1.2" hidden="1">NOTAS!$E$9</definedName>
    <definedName name="_xlchart.v1.3" hidden="1">NOTAS!$D$10:$D$15</definedName>
    <definedName name="_xlchart.v1.4" hidden="1">NOTAS!$E$10:$E$15</definedName>
    <definedName name="_xlchart.v1.5" hidden="1">NOTAS!$E$9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8" i="2" l="1"/>
</calcChain>
</file>

<file path=xl/sharedStrings.xml><?xml version="1.0" encoding="utf-8"?>
<sst xmlns="http://schemas.openxmlformats.org/spreadsheetml/2006/main" count="108" uniqueCount="93">
  <si>
    <t>NOME</t>
  </si>
  <si>
    <t>CPF</t>
  </si>
  <si>
    <t>NASCIMENTO</t>
  </si>
  <si>
    <t>TITULO DE ELEITOR</t>
  </si>
  <si>
    <t>CÔNJUGE</t>
  </si>
  <si>
    <t>RUA</t>
  </si>
  <si>
    <t>RUA ABREVIADA</t>
  </si>
  <si>
    <t>CEP</t>
  </si>
  <si>
    <t>TELEFONE</t>
  </si>
  <si>
    <t>CELULAR</t>
  </si>
  <si>
    <t>EMAIL</t>
  </si>
  <si>
    <t>HOUVE ALTERAÇÕES DA ENTREGA ANTERIOR</t>
  </si>
  <si>
    <t>DEPENDENTE CÔNJUGR</t>
  </si>
  <si>
    <t>RESIDENTE NO EXTERIOR</t>
  </si>
  <si>
    <t>1. DADOS DO TITULAR</t>
  </si>
  <si>
    <t>PREENCHA OS DADOS DA SUA PESSOA FÍSICA ABAIXO:</t>
  </si>
  <si>
    <t>SIM</t>
  </si>
  <si>
    <t>NÃO</t>
  </si>
  <si>
    <t>JULIANA DANTAS PIASENTIN</t>
  </si>
  <si>
    <t>JULIANADPIASENTIN@GMAIL.COM</t>
  </si>
  <si>
    <t>RUA ABADE BIAGINO CHIEFFI 2655</t>
  </si>
  <si>
    <t>RUA ABADE B. CHIEFFI 2655</t>
  </si>
  <si>
    <t xml:space="preserve">ALEX DIAS </t>
  </si>
  <si>
    <t>2. INFORMES DE RENDIMENTOS BANCÁRIOS</t>
  </si>
  <si>
    <t>PREENCHA COM SEUS DADOS ATUAIS DE CADA BANCO:</t>
  </si>
  <si>
    <t>BANCO</t>
  </si>
  <si>
    <t>VALOR ATUAL</t>
  </si>
  <si>
    <t>ANEXO</t>
  </si>
  <si>
    <t>BANCOX.PDF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</si>
  <si>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</si>
  <si>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</si>
  <si>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</si>
  <si>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</si>
  <si>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</si>
  <si>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</si>
  <si>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</si>
  <si>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</si>
  <si>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</si>
  <si>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</si>
  <si>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</si>
  <si>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</si>
  <si>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</si>
  <si>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</si>
  <si>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</si>
  <si>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</si>
  <si>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</si>
  <si>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</si>
  <si>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</si>
  <si>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</si>
  <si>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</si>
  <si>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</si>
  <si>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</si>
  <si>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</si>
  <si>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</si>
  <si>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</si>
  <si>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</si>
  <si>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</si>
  <si>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</si>
  <si>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</si>
  <si>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</si>
  <si>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</si>
  <si>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</si>
  <si>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</si>
  <si>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</si>
  <si>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</si>
  <si>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</si>
  <si>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</si>
  <si>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</si>
  <si>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</si>
  <si>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</si>
  <si>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</si>
  <si>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</si>
  <si>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</si>
  <si>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</si>
  <si>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</si>
  <si>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</si>
  <si>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</si>
  <si>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</si>
  <si>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</si>
  <si>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</si>
  <si>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1º BANCO</t>
  </si>
  <si>
    <t>2º BANCO</t>
  </si>
  <si>
    <t>3º BANCO</t>
  </si>
  <si>
    <t>TOTAL</t>
  </si>
  <si>
    <t>3. NOTAS BANCÁRIAS OU EXTRATOS DE HOLERITES</t>
  </si>
  <si>
    <t>TODOS OS VALORES DE ENTRADA MÊS A MÊS DE RECEITA</t>
  </si>
  <si>
    <t>DATA</t>
  </si>
  <si>
    <t>CATEGORIA</t>
  </si>
  <si>
    <t>VALOR</t>
  </si>
  <si>
    <t>ENTRADAS</t>
  </si>
  <si>
    <t>HOLERITE</t>
  </si>
  <si>
    <t>CNPJ</t>
  </si>
  <si>
    <t>FREELANCE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</si>
</sst>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164" formatCode="000&quot;.&quot;000&quot;.&quot;000&quot;-&quot;00"/>
    <numFmt numFmtId="165" formatCode="00000\-000"/>
    <numFmt numFmtId="166" formatCode="&quot;(&quot;\1\2&quot;)&quot;00000&quot;-&quot;0000"/>
    <numFmt numFmtId="167" formatCode="&quot;(&quot;00&quot;)&quot;0000&quot;-&quot;0000"/>
    <numFmt numFmtId="168" formatCode="&quot;R$&quot;\ #,##0.00"/>
  </numFmts>
  <fonts count="13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Segoe UI Light"/>
      <family val="2"/>
    </font>
    <font>
      <b/>
      <sz val="15"/>
      <color theme="8" tint="-0.499984740745262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9C5700"/>
      <name val="Aptos Narrow"/>
      <family val="2"/>
      <scheme val="minor"/>
    </font>
    <font>
      <b/>
      <sz val="11"/>
      <color theme="1"/>
      <name val="Segoe UI Light"/>
      <family val="2"/>
    </font>
    <font>
      <b/>
      <sz val="9"/>
      <color theme="1"/>
      <name val="Segoe UI Light"/>
      <family val="2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ck">
        <color theme="4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/>
      <bottom/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3" fillId="0" borderId="0" applyNumberFormat="0" applyFill="0" applyBorder="0" applyAlignment="0" applyProtection="0"/>
    <xf numFmtId="44" fontId="7" fillId="0" borderId="0" applyFont="0" applyFill="0" applyBorder="0" applyAlignment="0" applyProtection="0"/>
  </cellStyleXfs>
  <cellXfs count="34">
    <xf numFmtId="0" fontId="0" fillId="0" borderId="0" xfId="0"/>
    <xf numFmtId="0" fontId="0" fillId="0" borderId="2" xfId="0" applyBorder="1"/>
    <xf numFmtId="0" fontId="4" fillId="0" borderId="6" xfId="0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1" fillId="0" borderId="1" xfId="1"/>
    <xf numFmtId="0" fontId="5" fillId="0" borderId="1" xfId="1" applyFont="1"/>
    <xf numFmtId="0" fontId="0" fillId="3" borderId="0" xfId="0" applyFill="1"/>
    <xf numFmtId="0" fontId="6" fillId="3" borderId="7" xfId="0" applyFont="1" applyFill="1" applyBorder="1" applyAlignment="1">
      <alignment horizontal="left" indent="2"/>
    </xf>
    <xf numFmtId="0" fontId="4" fillId="0" borderId="8" xfId="0" applyFont="1" applyBorder="1" applyAlignment="1">
      <alignment horizontal="right"/>
    </xf>
    <xf numFmtId="0" fontId="4" fillId="4" borderId="0" xfId="0" applyFont="1" applyFill="1" applyBorder="1" applyAlignment="1">
      <alignment horizontal="right"/>
    </xf>
    <xf numFmtId="0" fontId="2" fillId="4" borderId="0" xfId="2" applyFill="1" applyBorder="1" applyAlignment="1">
      <alignment horizontal="left"/>
    </xf>
    <xf numFmtId="0" fontId="9" fillId="5" borderId="0" xfId="0" applyFont="1" applyFill="1"/>
    <xf numFmtId="0" fontId="6" fillId="4" borderId="0" xfId="0" applyFont="1" applyFill="1" applyBorder="1" applyAlignment="1">
      <alignment horizontal="left" indent="2"/>
    </xf>
    <xf numFmtId="168" fontId="10" fillId="2" borderId="0" xfId="2" applyNumberFormat="1" applyFont="1" applyAlignment="1">
      <alignment horizontal="center"/>
    </xf>
    <xf numFmtId="0" fontId="10" fillId="2" borderId="0" xfId="2" applyFont="1" applyAlignment="1">
      <alignment horizontal="center"/>
    </xf>
    <xf numFmtId="0" fontId="11" fillId="0" borderId="0" xfId="0" applyFont="1"/>
    <xf numFmtId="0" fontId="12" fillId="0" borderId="0" xfId="0" applyFont="1"/>
    <xf numFmtId="0" fontId="8" fillId="0" borderId="0" xfId="0" applyFont="1" applyAlignment="1">
      <alignment horizontal="center"/>
    </xf>
    <xf numFmtId="0" fontId="0" fillId="0" borderId="0" xfId="0" applyFont="1"/>
    <xf numFmtId="0" fontId="11" fillId="3" borderId="0" xfId="0" applyFont="1" applyFill="1" applyAlignment="1">
      <alignment horizontal="center"/>
    </xf>
    <xf numFmtId="0" fontId="2" fillId="2" borderId="3" xfId="2" applyBorder="1" applyAlignment="1" applyProtection="1">
      <alignment horizontal="left"/>
      <protection locked="0"/>
    </xf>
    <xf numFmtId="164" fontId="2" fillId="2" borderId="4" xfId="2" applyNumberFormat="1" applyBorder="1" applyAlignment="1" applyProtection="1">
      <alignment horizontal="left"/>
      <protection locked="0"/>
    </xf>
    <xf numFmtId="14" fontId="2" fillId="2" borderId="0" xfId="2" applyNumberFormat="1" applyBorder="1" applyAlignment="1" applyProtection="1">
      <alignment horizontal="left"/>
      <protection locked="0"/>
    </xf>
    <xf numFmtId="0" fontId="2" fillId="2" borderId="4" xfId="2" applyBorder="1" applyAlignment="1" applyProtection="1">
      <alignment horizontal="left"/>
      <protection locked="0"/>
    </xf>
    <xf numFmtId="165" fontId="2" fillId="2" borderId="4" xfId="2" applyNumberFormat="1" applyBorder="1" applyAlignment="1" applyProtection="1">
      <alignment horizontal="left"/>
      <protection locked="0"/>
    </xf>
    <xf numFmtId="167" fontId="2" fillId="2" borderId="4" xfId="2" applyNumberFormat="1" applyBorder="1" applyAlignment="1" applyProtection="1">
      <alignment horizontal="left"/>
      <protection locked="0"/>
    </xf>
    <xf numFmtId="166" fontId="2" fillId="2" borderId="4" xfId="2" applyNumberFormat="1" applyBorder="1" applyAlignment="1" applyProtection="1">
      <alignment horizontal="left"/>
      <protection locked="0"/>
    </xf>
    <xf numFmtId="0" fontId="3" fillId="2" borderId="4" xfId="3" applyFill="1" applyBorder="1" applyAlignment="1" applyProtection="1">
      <alignment horizontal="left"/>
      <protection locked="0"/>
    </xf>
    <xf numFmtId="0" fontId="2" fillId="2" borderId="5" xfId="2" applyBorder="1" applyAlignment="1" applyProtection="1">
      <alignment horizontal="left"/>
      <protection locked="0"/>
    </xf>
    <xf numFmtId="168" fontId="2" fillId="2" borderId="3" xfId="4" applyNumberFormat="1" applyFont="1" applyFill="1" applyBorder="1" applyAlignment="1" applyProtection="1">
      <alignment horizontal="left"/>
      <protection locked="0"/>
    </xf>
    <xf numFmtId="0" fontId="2" fillId="2" borderId="9" xfId="2" applyBorder="1" applyAlignment="1" applyProtection="1">
      <alignment horizontal="left"/>
      <protection locked="0"/>
    </xf>
    <xf numFmtId="14" fontId="0" fillId="0" borderId="0" xfId="0" applyNumberFormat="1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168" fontId="0" fillId="0" borderId="0" xfId="0" applyNumberFormat="1" applyFont="1" applyAlignment="1" applyProtection="1">
      <alignment horizontal="center"/>
      <protection locked="0"/>
    </xf>
  </cellXfs>
  <cellStyles count="5">
    <cellStyle name="Hiperlink" xfId="3" builtinId="8"/>
    <cellStyle name="Moeda" xfId="4" builtinId="4"/>
    <cellStyle name="Neutro" xfId="2" builtinId="28"/>
    <cellStyle name="Normal" xfId="0" builtinId="0"/>
    <cellStyle name="Título 1" xfId="1" builtinId="16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&quot;R$&quot;\ #,##0.00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plotArea>
      <cx:plotAreaRegion>
        <cx:plotSurface>
          <cx:spPr>
            <a:noFill/>
            <a:ln>
              <a:noFill/>
            </a:ln>
            <a:effectLst/>
          </cx:spPr>
        </cx:plotSurface>
        <cx:series layoutId="clusteredColumn" uniqueId="{CA68A742-F394-4056-B73A-1446D8F51841}">
          <cx:tx>
            <cx:txData>
              <cx:f>_xlchart.v1.2</cx:f>
              <cx:v>VALOR</cx:v>
            </cx:txData>
          </cx:tx>
          <cx:spPr>
            <a:solidFill>
              <a:schemeClr val="accent5">
                <a:lumMod val="40000"/>
                <a:lumOff val="60000"/>
              </a:schemeClr>
            </a:solidFill>
          </cx:spPr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/>
                </a:pPr>
                <a:endParaRPr lang="pt-BR" sz="900" b="1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endParaRPr>
              </a:p>
            </cx:txPr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979CCFF9-E5EF-498E-95CF-A1F600364A46}">
          <cx:axisId val="2"/>
        </cx:series>
      </cx:plotAreaRegion>
      <cx:axis id="0">
        <cx:catScaling gapWidth="0"/>
        <cx:tickLabels/>
      </cx:axis>
      <cx:axis id="1">
        <cx:valScaling/>
        <cx:tickLabels/>
      </cx:axis>
      <cx:axis id="2" hidden="1">
        <cx:valScaling max="1" min="0"/>
        <cx:units unit="percentage"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TITULAR!A1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hyperlink" Target="#NOTAS!A1"/><Relationship Id="rId4" Type="http://schemas.openxmlformats.org/officeDocument/2006/relationships/hyperlink" Target="#INFORM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TITULAR!A1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hyperlink" Target="#NOTAS!A1"/><Relationship Id="rId4" Type="http://schemas.openxmlformats.org/officeDocument/2006/relationships/hyperlink" Target="#INFORME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TITULAR!A1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6" Type="http://schemas.microsoft.com/office/2014/relationships/chartEx" Target="../charts/chartEx1.xml"/><Relationship Id="rId5" Type="http://schemas.openxmlformats.org/officeDocument/2006/relationships/hyperlink" Target="#NOTAS!A1"/><Relationship Id="rId4" Type="http://schemas.openxmlformats.org/officeDocument/2006/relationships/hyperlink" Target="#INFORM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588642</xdr:colOff>
      <xdr:row>2</xdr:row>
      <xdr:rowOff>135255</xdr:rowOff>
    </xdr:from>
    <xdr:to>
      <xdr:col>0</xdr:col>
      <xdr:colOff>1771648</xdr:colOff>
      <xdr:row>8</xdr:row>
      <xdr:rowOff>153128</xdr:rowOff>
    </xdr:to>
    <xdr:pic>
      <xdr:nvPicPr>
        <xdr:cNvPr id="3" name="Gráfico 2" descr="Leão com preenchimento sólido">
          <a:extLst>
            <a:ext uri="{FF2B5EF4-FFF2-40B4-BE49-F238E27FC236}">
              <a16:creationId xmlns:a16="http://schemas.microsoft.com/office/drawing/2014/main" id="{B135CD44-530F-6C25-6E2A-DAAA396A0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6262" y="497205"/>
          <a:ext cx="1183006" cy="1225325"/>
        </a:xfrm>
        <a:prstGeom prst="rect">
          <a:avLst/>
        </a:prstGeom>
      </xdr:spPr>
    </xdr:pic>
    <xdr:clientData/>
  </xdr:twoCellAnchor>
  <xdr:twoCellAnchor>
    <xdr:from>
      <xdr:col>0</xdr:col>
      <xdr:colOff>104775</xdr:colOff>
      <xdr:row>0</xdr:row>
      <xdr:rowOff>173355</xdr:rowOff>
    </xdr:from>
    <xdr:to>
      <xdr:col>0</xdr:col>
      <xdr:colOff>2364105</xdr:colOff>
      <xdr:row>3</xdr:row>
      <xdr:rowOff>9525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402CB48-CB0D-AFDC-7846-786E52FA13CE}"/>
            </a:ext>
          </a:extLst>
        </xdr:cNvPr>
        <xdr:cNvSpPr/>
      </xdr:nvSpPr>
      <xdr:spPr>
        <a:xfrm>
          <a:off x="104775" y="173355"/>
          <a:ext cx="2259330" cy="379095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gradFill>
                <a:gsLst>
                  <a:gs pos="88200">
                    <a:schemeClr val="accent5">
                      <a:lumMod val="50000"/>
                    </a:schemeClr>
                  </a:gs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LION</a:t>
          </a:r>
          <a:r>
            <a:rPr lang="pt-BR" sz="2000" b="0" cap="none" spc="0" baseline="0">
              <a:ln w="0"/>
              <a:gradFill>
                <a:gsLst>
                  <a:gs pos="88200">
                    <a:schemeClr val="accent5">
                      <a:lumMod val="50000"/>
                    </a:schemeClr>
                  </a:gs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 APP</a:t>
          </a:r>
          <a:endParaRPr lang="pt-BR" sz="2000" b="0" cap="none" spc="0">
            <a:ln w="0"/>
            <a:gradFill>
              <a:gsLst>
                <a:gs pos="88200">
                  <a:schemeClr val="accent5">
                    <a:lumMod val="50000"/>
                  </a:schemeClr>
                </a:gs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247650</xdr:colOff>
      <xdr:row>10</xdr:row>
      <xdr:rowOff>15558</xdr:rowOff>
    </xdr:from>
    <xdr:to>
      <xdr:col>0</xdr:col>
      <xdr:colOff>2110740</xdr:colOff>
      <xdr:row>13</xdr:row>
      <xdr:rowOff>149543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734ED4-0248-FE91-C813-B91E87FED4C9}"/>
            </a:ext>
          </a:extLst>
        </xdr:cNvPr>
        <xdr:cNvSpPr/>
      </xdr:nvSpPr>
      <xdr:spPr>
        <a:xfrm>
          <a:off x="232410" y="2017395"/>
          <a:ext cx="1878330" cy="712470"/>
        </a:xfrm>
        <a:prstGeom prst="roundRect">
          <a:avLst/>
        </a:prstGeom>
        <a:gradFill flip="none" rotWithShape="1">
          <a:gsLst>
            <a:gs pos="100000">
              <a:srgbClr val="7030A0"/>
            </a:gs>
            <a:gs pos="7000">
              <a:srgbClr val="7030A0"/>
            </a:gs>
            <a:gs pos="50000">
              <a:srgbClr val="CC99FF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20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TITULAR</a:t>
          </a:r>
        </a:p>
      </xdr:txBody>
    </xdr:sp>
    <xdr:clientData/>
  </xdr:twoCellAnchor>
  <xdr:twoCellAnchor editAs="absolute">
    <xdr:from>
      <xdr:col>0</xdr:col>
      <xdr:colOff>230505</xdr:colOff>
      <xdr:row>16</xdr:row>
      <xdr:rowOff>91440</xdr:rowOff>
    </xdr:from>
    <xdr:to>
      <xdr:col>0</xdr:col>
      <xdr:colOff>2116455</xdr:colOff>
      <xdr:row>19</xdr:row>
      <xdr:rowOff>170180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68B8091-52A7-4B13-8F90-C88485F707F9}"/>
            </a:ext>
          </a:extLst>
        </xdr:cNvPr>
        <xdr:cNvSpPr/>
      </xdr:nvSpPr>
      <xdr:spPr>
        <a:xfrm>
          <a:off x="230505" y="3299460"/>
          <a:ext cx="1885950" cy="7143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INFORMES</a:t>
          </a:r>
        </a:p>
      </xdr:txBody>
    </xdr:sp>
    <xdr:clientData/>
  </xdr:twoCellAnchor>
  <xdr:twoCellAnchor editAs="absolute">
    <xdr:from>
      <xdr:col>0</xdr:col>
      <xdr:colOff>226695</xdr:colOff>
      <xdr:row>23</xdr:row>
      <xdr:rowOff>19050</xdr:rowOff>
    </xdr:from>
    <xdr:to>
      <xdr:col>0</xdr:col>
      <xdr:colOff>2116455</xdr:colOff>
      <xdr:row>27</xdr:row>
      <xdr:rowOff>19050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D7CA546-2E6C-41C9-8013-E2EE708A65A7}"/>
            </a:ext>
          </a:extLst>
        </xdr:cNvPr>
        <xdr:cNvSpPr/>
      </xdr:nvSpPr>
      <xdr:spPr>
        <a:xfrm>
          <a:off x="226695" y="4583430"/>
          <a:ext cx="1889760" cy="7239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NOTAS</a:t>
          </a:r>
        </a:p>
      </xdr:txBody>
    </xdr:sp>
    <xdr:clientData/>
  </xdr:twoCellAnchor>
  <xdr:twoCellAnchor>
    <xdr:from>
      <xdr:col>0</xdr:col>
      <xdr:colOff>327658</xdr:colOff>
      <xdr:row>32</xdr:row>
      <xdr:rowOff>167639</xdr:rowOff>
    </xdr:from>
    <xdr:to>
      <xdr:col>0</xdr:col>
      <xdr:colOff>2156458</xdr:colOff>
      <xdr:row>34</xdr:row>
      <xdr:rowOff>180974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579F1C30-4B87-0ACC-985E-17BE7D2D6CD6}"/>
            </a:ext>
          </a:extLst>
        </xdr:cNvPr>
        <xdr:cNvSpPr/>
      </xdr:nvSpPr>
      <xdr:spPr>
        <a:xfrm>
          <a:off x="327658" y="5958839"/>
          <a:ext cx="1828800" cy="37528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900"/>
            <a:t>SISTEM BY AURA CAPITAL ❤️</a:t>
          </a:r>
        </a:p>
      </xdr:txBody>
    </xdr:sp>
    <xdr:clientData/>
  </xdr:twoCellAnchor>
  <xdr:twoCellAnchor>
    <xdr:from>
      <xdr:col>3</xdr:col>
      <xdr:colOff>0</xdr:colOff>
      <xdr:row>21</xdr:row>
      <xdr:rowOff>0</xdr:rowOff>
    </xdr:from>
    <xdr:to>
      <xdr:col>4</xdr:col>
      <xdr:colOff>0</xdr:colOff>
      <xdr:row>23</xdr:row>
      <xdr:rowOff>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7A7F9B-60F6-2987-A383-96C12611ED36}"/>
            </a:ext>
          </a:extLst>
        </xdr:cNvPr>
        <xdr:cNvSpPr/>
      </xdr:nvSpPr>
      <xdr:spPr>
        <a:xfrm>
          <a:off x="5976938" y="4246563"/>
          <a:ext cx="2444750" cy="365125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/>
            <a:t>PRÓXIMO -&gt;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474343</xdr:colOff>
      <xdr:row>2</xdr:row>
      <xdr:rowOff>156209</xdr:rowOff>
    </xdr:from>
    <xdr:to>
      <xdr:col>0</xdr:col>
      <xdr:colOff>1678304</xdr:colOff>
      <xdr:row>8</xdr:row>
      <xdr:rowOff>174399</xdr:rowOff>
    </xdr:to>
    <xdr:pic>
      <xdr:nvPicPr>
        <xdr:cNvPr id="2" name="Gráfico 1" descr="Leão com preenchimento sólido">
          <a:extLst>
            <a:ext uri="{FF2B5EF4-FFF2-40B4-BE49-F238E27FC236}">
              <a16:creationId xmlns:a16="http://schemas.microsoft.com/office/drawing/2014/main" id="{A875263E-C2D6-47BB-B58E-B344EC15C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74343" y="518159"/>
          <a:ext cx="1203961" cy="1223420"/>
        </a:xfrm>
        <a:prstGeom prst="rect">
          <a:avLst/>
        </a:prstGeom>
      </xdr:spPr>
    </xdr:pic>
    <xdr:clientData/>
  </xdr:twoCellAnchor>
  <xdr:twoCellAnchor>
    <xdr:from>
      <xdr:col>0</xdr:col>
      <xdr:colOff>104775</xdr:colOff>
      <xdr:row>0</xdr:row>
      <xdr:rowOff>173355</xdr:rowOff>
    </xdr:from>
    <xdr:to>
      <xdr:col>0</xdr:col>
      <xdr:colOff>2364105</xdr:colOff>
      <xdr:row>3</xdr:row>
      <xdr:rowOff>9525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293523D-15CF-4DAF-BFF3-63F166D276F4}"/>
            </a:ext>
          </a:extLst>
        </xdr:cNvPr>
        <xdr:cNvSpPr/>
      </xdr:nvSpPr>
      <xdr:spPr>
        <a:xfrm>
          <a:off x="102870" y="169545"/>
          <a:ext cx="2261235" cy="384810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gradFill>
                <a:gsLst>
                  <a:gs pos="88200">
                    <a:schemeClr val="accent5">
                      <a:lumMod val="50000"/>
                    </a:schemeClr>
                  </a:gs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LION</a:t>
          </a:r>
          <a:r>
            <a:rPr lang="pt-BR" sz="2000" b="0" cap="none" spc="0" baseline="0">
              <a:ln w="0"/>
              <a:gradFill>
                <a:gsLst>
                  <a:gs pos="88200">
                    <a:schemeClr val="accent5">
                      <a:lumMod val="50000"/>
                    </a:schemeClr>
                  </a:gs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 APP</a:t>
          </a:r>
          <a:endParaRPr lang="pt-BR" sz="2000" b="0" cap="none" spc="0">
            <a:ln w="0"/>
            <a:gradFill>
              <a:gsLst>
                <a:gs pos="88200">
                  <a:schemeClr val="accent5">
                    <a:lumMod val="50000"/>
                  </a:schemeClr>
                </a:gs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243840</xdr:colOff>
      <xdr:row>10</xdr:row>
      <xdr:rowOff>94297</xdr:rowOff>
    </xdr:from>
    <xdr:to>
      <xdr:col>0</xdr:col>
      <xdr:colOff>2114550</xdr:colOff>
      <xdr:row>14</xdr:row>
      <xdr:rowOff>1905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29EA94B-795A-4391-ABFD-AAA42480A0AF}"/>
            </a:ext>
          </a:extLst>
        </xdr:cNvPr>
        <xdr:cNvSpPr/>
      </xdr:nvSpPr>
      <xdr:spPr>
        <a:xfrm>
          <a:off x="234315" y="2015490"/>
          <a:ext cx="1880235" cy="71818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20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TITULAR</a:t>
          </a:r>
        </a:p>
      </xdr:txBody>
    </xdr:sp>
    <xdr:clientData/>
  </xdr:twoCellAnchor>
  <xdr:twoCellAnchor editAs="absolute">
    <xdr:from>
      <xdr:col>0</xdr:col>
      <xdr:colOff>230505</xdr:colOff>
      <xdr:row>16</xdr:row>
      <xdr:rowOff>170180</xdr:rowOff>
    </xdr:from>
    <xdr:to>
      <xdr:col>0</xdr:col>
      <xdr:colOff>2112645</xdr:colOff>
      <xdr:row>20</xdr:row>
      <xdr:rowOff>115888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C570770-BFEB-4BC3-B4A1-710D2AFB2843}"/>
            </a:ext>
          </a:extLst>
        </xdr:cNvPr>
        <xdr:cNvSpPr/>
      </xdr:nvSpPr>
      <xdr:spPr>
        <a:xfrm>
          <a:off x="230505" y="3301365"/>
          <a:ext cx="1882140" cy="710565"/>
        </a:xfrm>
        <a:prstGeom prst="roundRect">
          <a:avLst/>
        </a:prstGeom>
        <a:gradFill flip="none" rotWithShape="1">
          <a:gsLst>
            <a:gs pos="100000">
              <a:srgbClr val="7030A0"/>
            </a:gs>
            <a:gs pos="7000">
              <a:srgbClr val="7030A0"/>
            </a:gs>
            <a:gs pos="50000">
              <a:srgbClr val="CC99FF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INFORMES</a:t>
          </a:r>
        </a:p>
      </xdr:txBody>
    </xdr:sp>
    <xdr:clientData/>
  </xdr:twoCellAnchor>
  <xdr:twoCellAnchor editAs="absolute">
    <xdr:from>
      <xdr:col>0</xdr:col>
      <xdr:colOff>226695</xdr:colOff>
      <xdr:row>23</xdr:row>
      <xdr:rowOff>93027</xdr:rowOff>
    </xdr:from>
    <xdr:to>
      <xdr:col>0</xdr:col>
      <xdr:colOff>2112645</xdr:colOff>
      <xdr:row>27</xdr:row>
      <xdr:rowOff>78740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436B423-A88E-4954-A90A-83528FBEDF7A}"/>
            </a:ext>
          </a:extLst>
        </xdr:cNvPr>
        <xdr:cNvSpPr/>
      </xdr:nvSpPr>
      <xdr:spPr>
        <a:xfrm>
          <a:off x="226695" y="4579620"/>
          <a:ext cx="1885950" cy="7239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NOTAS</a:t>
          </a:r>
        </a:p>
      </xdr:txBody>
    </xdr:sp>
    <xdr:clientData/>
  </xdr:twoCellAnchor>
  <xdr:twoCellAnchor>
    <xdr:from>
      <xdr:col>0</xdr:col>
      <xdr:colOff>327658</xdr:colOff>
      <xdr:row>32</xdr:row>
      <xdr:rowOff>167639</xdr:rowOff>
    </xdr:from>
    <xdr:to>
      <xdr:col>0</xdr:col>
      <xdr:colOff>2156458</xdr:colOff>
      <xdr:row>34</xdr:row>
      <xdr:rowOff>180974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44C198A4-9AD4-4D36-8E9D-F42D19200EFA}"/>
            </a:ext>
          </a:extLst>
        </xdr:cNvPr>
        <xdr:cNvSpPr/>
      </xdr:nvSpPr>
      <xdr:spPr>
        <a:xfrm>
          <a:off x="323848" y="5962649"/>
          <a:ext cx="1828800" cy="36957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900"/>
            <a:t>SISTEM BY AURA CAPITAL ❤️</a:t>
          </a:r>
        </a:p>
      </xdr:txBody>
    </xdr:sp>
    <xdr:clientData/>
  </xdr:twoCellAnchor>
  <xdr:twoCellAnchor>
    <xdr:from>
      <xdr:col>2</xdr:col>
      <xdr:colOff>2817813</xdr:colOff>
      <xdr:row>25</xdr:row>
      <xdr:rowOff>128905</xdr:rowOff>
    </xdr:from>
    <xdr:to>
      <xdr:col>3</xdr:col>
      <xdr:colOff>2365375</xdr:colOff>
      <xdr:row>27</xdr:row>
      <xdr:rowOff>142874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010D391-C6BE-4602-8162-3D6CA7983A87}"/>
            </a:ext>
          </a:extLst>
        </xdr:cNvPr>
        <xdr:cNvSpPr/>
      </xdr:nvSpPr>
      <xdr:spPr>
        <a:xfrm>
          <a:off x="5849938" y="5216843"/>
          <a:ext cx="2492375" cy="379094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/>
            <a:t>PRÓXIMO -&gt;</a:t>
          </a:r>
        </a:p>
      </xdr:txBody>
    </xdr:sp>
    <xdr:clientData/>
  </xdr:twoCellAnchor>
  <xdr:twoCellAnchor>
    <xdr:from>
      <xdr:col>2</xdr:col>
      <xdr:colOff>7939</xdr:colOff>
      <xdr:row>25</xdr:row>
      <xdr:rowOff>126999</xdr:rowOff>
    </xdr:from>
    <xdr:to>
      <xdr:col>2</xdr:col>
      <xdr:colOff>2512379</xdr:colOff>
      <xdr:row>27</xdr:row>
      <xdr:rowOff>126999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5FF2C5E-1EF5-4192-8F0D-678187CE2813}"/>
            </a:ext>
          </a:extLst>
        </xdr:cNvPr>
        <xdr:cNvSpPr/>
      </xdr:nvSpPr>
      <xdr:spPr>
        <a:xfrm>
          <a:off x="3040064" y="5214937"/>
          <a:ext cx="2504440" cy="365125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/>
            <a:t>&lt;- ANTERIOR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474343</xdr:colOff>
      <xdr:row>2</xdr:row>
      <xdr:rowOff>156209</xdr:rowOff>
    </xdr:from>
    <xdr:to>
      <xdr:col>0</xdr:col>
      <xdr:colOff>1678304</xdr:colOff>
      <xdr:row>8</xdr:row>
      <xdr:rowOff>168684</xdr:rowOff>
    </xdr:to>
    <xdr:pic>
      <xdr:nvPicPr>
        <xdr:cNvPr id="2" name="Gráfico 1" descr="Leão com preenchimento sólido">
          <a:extLst>
            <a:ext uri="{FF2B5EF4-FFF2-40B4-BE49-F238E27FC236}">
              <a16:creationId xmlns:a16="http://schemas.microsoft.com/office/drawing/2014/main" id="{DFBCE797-B11C-4531-BF82-1B1EABF57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78153" y="518159"/>
          <a:ext cx="1200151" cy="1223420"/>
        </a:xfrm>
        <a:prstGeom prst="rect">
          <a:avLst/>
        </a:prstGeom>
      </xdr:spPr>
    </xdr:pic>
    <xdr:clientData/>
  </xdr:twoCellAnchor>
  <xdr:twoCellAnchor>
    <xdr:from>
      <xdr:col>0</xdr:col>
      <xdr:colOff>104775</xdr:colOff>
      <xdr:row>0</xdr:row>
      <xdr:rowOff>173355</xdr:rowOff>
    </xdr:from>
    <xdr:to>
      <xdr:col>0</xdr:col>
      <xdr:colOff>2364105</xdr:colOff>
      <xdr:row>3</xdr:row>
      <xdr:rowOff>9525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72386F7-CCD6-493F-B374-695A927B15AE}"/>
            </a:ext>
          </a:extLst>
        </xdr:cNvPr>
        <xdr:cNvSpPr/>
      </xdr:nvSpPr>
      <xdr:spPr>
        <a:xfrm>
          <a:off x="102870" y="169545"/>
          <a:ext cx="2261235" cy="384810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gradFill>
                <a:gsLst>
                  <a:gs pos="88200">
                    <a:schemeClr val="accent5">
                      <a:lumMod val="50000"/>
                    </a:schemeClr>
                  </a:gs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LION</a:t>
          </a:r>
          <a:r>
            <a:rPr lang="pt-BR" sz="2000" b="0" cap="none" spc="0" baseline="0">
              <a:ln w="0"/>
              <a:gradFill>
                <a:gsLst>
                  <a:gs pos="88200">
                    <a:schemeClr val="accent5">
                      <a:lumMod val="50000"/>
                    </a:schemeClr>
                  </a:gs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Arial Black" panose="020B0A04020102020204" pitchFamily="34" charset="0"/>
            </a:rPr>
            <a:t> APP</a:t>
          </a:r>
          <a:endParaRPr lang="pt-BR" sz="2000" b="0" cap="none" spc="0">
            <a:ln w="0"/>
            <a:gradFill>
              <a:gsLst>
                <a:gs pos="88200">
                  <a:schemeClr val="accent5">
                    <a:lumMod val="50000"/>
                  </a:schemeClr>
                </a:gs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243840</xdr:colOff>
      <xdr:row>10</xdr:row>
      <xdr:rowOff>56197</xdr:rowOff>
    </xdr:from>
    <xdr:to>
      <xdr:col>0</xdr:col>
      <xdr:colOff>2114550</xdr:colOff>
      <xdr:row>14</xdr:row>
      <xdr:rowOff>96202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0FD00DF-636A-4182-AB18-1C22E68E9590}"/>
            </a:ext>
          </a:extLst>
        </xdr:cNvPr>
        <xdr:cNvSpPr/>
      </xdr:nvSpPr>
      <xdr:spPr>
        <a:xfrm>
          <a:off x="236220" y="2011680"/>
          <a:ext cx="1874520" cy="71818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20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TITULAR</a:t>
          </a:r>
        </a:p>
      </xdr:txBody>
    </xdr:sp>
    <xdr:clientData/>
  </xdr:twoCellAnchor>
  <xdr:twoCellAnchor editAs="absolute">
    <xdr:from>
      <xdr:col>0</xdr:col>
      <xdr:colOff>230505</xdr:colOff>
      <xdr:row>17</xdr:row>
      <xdr:rowOff>134303</xdr:rowOff>
    </xdr:from>
    <xdr:to>
      <xdr:col>0</xdr:col>
      <xdr:colOff>2112645</xdr:colOff>
      <xdr:row>21</xdr:row>
      <xdr:rowOff>117158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F730CB7-E852-46FF-9E4C-F3DB8C41292E}"/>
            </a:ext>
          </a:extLst>
        </xdr:cNvPr>
        <xdr:cNvSpPr/>
      </xdr:nvSpPr>
      <xdr:spPr>
        <a:xfrm>
          <a:off x="230505" y="3303270"/>
          <a:ext cx="1885950" cy="70675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INFORMES</a:t>
          </a:r>
        </a:p>
      </xdr:txBody>
    </xdr:sp>
    <xdr:clientData/>
  </xdr:twoCellAnchor>
  <xdr:twoCellAnchor editAs="absolute">
    <xdr:from>
      <xdr:col>0</xdr:col>
      <xdr:colOff>226695</xdr:colOff>
      <xdr:row>24</xdr:row>
      <xdr:rowOff>117157</xdr:rowOff>
    </xdr:from>
    <xdr:to>
      <xdr:col>0</xdr:col>
      <xdr:colOff>2112645</xdr:colOff>
      <xdr:row>28</xdr:row>
      <xdr:rowOff>117157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9042598-5039-4C6B-8D60-8C2CFEED6C58}"/>
            </a:ext>
          </a:extLst>
        </xdr:cNvPr>
        <xdr:cNvSpPr/>
      </xdr:nvSpPr>
      <xdr:spPr>
        <a:xfrm>
          <a:off x="226695" y="4583430"/>
          <a:ext cx="1889760" cy="723900"/>
        </a:xfrm>
        <a:prstGeom prst="roundRect">
          <a:avLst/>
        </a:prstGeom>
        <a:gradFill flip="none" rotWithShape="1">
          <a:gsLst>
            <a:gs pos="100000">
              <a:srgbClr val="7030A0"/>
            </a:gs>
            <a:gs pos="7000">
              <a:srgbClr val="7030A0"/>
            </a:gs>
            <a:gs pos="50000">
              <a:srgbClr val="CC99FF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NOTAS</a:t>
          </a:r>
        </a:p>
      </xdr:txBody>
    </xdr:sp>
    <xdr:clientData/>
  </xdr:twoCellAnchor>
  <xdr:twoCellAnchor>
    <xdr:from>
      <xdr:col>0</xdr:col>
      <xdr:colOff>327658</xdr:colOff>
      <xdr:row>32</xdr:row>
      <xdr:rowOff>167639</xdr:rowOff>
    </xdr:from>
    <xdr:to>
      <xdr:col>0</xdr:col>
      <xdr:colOff>2156458</xdr:colOff>
      <xdr:row>34</xdr:row>
      <xdr:rowOff>180974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EC1D6BB-765F-41FE-AC7E-6F8C946B9B39}"/>
            </a:ext>
          </a:extLst>
        </xdr:cNvPr>
        <xdr:cNvSpPr/>
      </xdr:nvSpPr>
      <xdr:spPr>
        <a:xfrm>
          <a:off x="323848" y="5962649"/>
          <a:ext cx="1828800" cy="36957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900"/>
            <a:t>SISTEM BY AURA CAPITAL ❤️</a:t>
          </a:r>
        </a:p>
      </xdr:txBody>
    </xdr:sp>
    <xdr:clientData/>
  </xdr:twoCellAnchor>
  <xdr:twoCellAnchor>
    <xdr:from>
      <xdr:col>2</xdr:col>
      <xdr:colOff>0</xdr:colOff>
      <xdr:row>5</xdr:row>
      <xdr:rowOff>87313</xdr:rowOff>
    </xdr:from>
    <xdr:to>
      <xdr:col>2</xdr:col>
      <xdr:colOff>1216660</xdr:colOff>
      <xdr:row>6</xdr:row>
      <xdr:rowOff>97156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FDB7F4A-C58F-4EE3-BF2B-D4E7DBAD0FEF}"/>
            </a:ext>
          </a:extLst>
        </xdr:cNvPr>
        <xdr:cNvSpPr/>
      </xdr:nvSpPr>
      <xdr:spPr>
        <a:xfrm>
          <a:off x="3032125" y="1079501"/>
          <a:ext cx="1216660" cy="192405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/>
            <a:t>&lt;- ANTERIOR </a:t>
          </a:r>
        </a:p>
      </xdr:txBody>
    </xdr:sp>
    <xdr:clientData/>
  </xdr:twoCellAnchor>
  <xdr:twoCellAnchor>
    <xdr:from>
      <xdr:col>5</xdr:col>
      <xdr:colOff>341631</xdr:colOff>
      <xdr:row>12</xdr:row>
      <xdr:rowOff>164465</xdr:rowOff>
    </xdr:from>
    <xdr:to>
      <xdr:col>12</xdr:col>
      <xdr:colOff>21908</xdr:colOff>
      <xdr:row>27</xdr:row>
      <xdr:rowOff>167323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Gráfico 10">
              <a:extLst>
                <a:ext uri="{FF2B5EF4-FFF2-40B4-BE49-F238E27FC236}">
                  <a16:creationId xmlns:a16="http://schemas.microsoft.com/office/drawing/2014/main" id="{40310B0D-DB3F-A3DE-61A9-951B1835871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09381" y="2458403"/>
              <a:ext cx="4577715" cy="27412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CD355F-4E19-4B5B-8E7B-6260EC4F3D7D}" name="Tabela1" displayName="Tabela1" ref="C9:E32" totalsRowShown="0" headerRowDxfId="4" dataDxfId="0">
  <autoFilter ref="C9:E32" xr:uid="{6CCD355F-4E19-4B5B-8E7B-6260EC4F3D7D}"/>
  <tableColumns count="3">
    <tableColumn id="1" xr3:uid="{764A1217-CA70-4021-8A0D-F59C5F843AFF}" name="DATA" dataDxfId="3"/>
    <tableColumn id="2" xr3:uid="{42817553-7FD6-44C9-A3AE-FFFE908211B7}" name="CATEGORIA" dataDxfId="2"/>
    <tableColumn id="3" xr3:uid="{99178F97-5EB3-4CB0-B897-F5AF1EE2BD08}" name="VALOR" dataDxfId="1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JULIANADPIASENTIN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A0339-57F4-418B-A500-9730FB83240A}">
  <sheetPr codeName="Planilha1"/>
  <dimension ref="A4:E20"/>
  <sheetViews>
    <sheetView showGridLines="0" zoomScale="120" zoomScaleNormal="120" workbookViewId="0">
      <selection activeCell="D19" sqref="D19"/>
    </sheetView>
  </sheetViews>
  <sheetFormatPr defaultRowHeight="14.4" x14ac:dyDescent="0.3"/>
  <cols>
    <col min="1" max="1" width="35.33203125" style="6" customWidth="1"/>
    <col min="3" max="3" width="42.88671875" bestFit="1" customWidth="1"/>
    <col min="4" max="4" width="35.6640625" customWidth="1"/>
  </cols>
  <sheetData>
    <row r="4" spans="3:5" ht="20.399999999999999" thickBot="1" x14ac:dyDescent="0.45">
      <c r="C4" s="5" t="s">
        <v>14</v>
      </c>
      <c r="D4" s="4"/>
      <c r="E4" s="4"/>
    </row>
    <row r="5" spans="3:5" ht="15" thickTop="1" x14ac:dyDescent="0.3">
      <c r="C5" s="7" t="s">
        <v>15</v>
      </c>
      <c r="D5" s="7"/>
      <c r="E5" s="7"/>
    </row>
    <row r="6" spans="3:5" x14ac:dyDescent="0.3">
      <c r="D6" s="1"/>
    </row>
    <row r="7" spans="3:5" ht="16.8" x14ac:dyDescent="0.4">
      <c r="C7" s="2" t="s">
        <v>0</v>
      </c>
      <c r="D7" s="20" t="s">
        <v>18</v>
      </c>
    </row>
    <row r="8" spans="3:5" ht="16.8" x14ac:dyDescent="0.4">
      <c r="C8" s="2" t="s">
        <v>1</v>
      </c>
      <c r="D8" s="21">
        <v>47514603824</v>
      </c>
    </row>
    <row r="9" spans="3:5" ht="16.8" x14ac:dyDescent="0.4">
      <c r="C9" s="2" t="s">
        <v>2</v>
      </c>
      <c r="D9" s="22">
        <v>36229</v>
      </c>
    </row>
    <row r="10" spans="3:5" ht="16.8" x14ac:dyDescent="0.4">
      <c r="C10" s="3" t="s">
        <v>3</v>
      </c>
      <c r="D10" s="23">
        <v>58746325</v>
      </c>
    </row>
    <row r="11" spans="3:5" ht="16.8" x14ac:dyDescent="0.4">
      <c r="C11" s="3" t="s">
        <v>4</v>
      </c>
      <c r="D11" s="23" t="s">
        <v>22</v>
      </c>
    </row>
    <row r="12" spans="3:5" ht="16.8" x14ac:dyDescent="0.4">
      <c r="C12" s="3" t="s">
        <v>5</v>
      </c>
      <c r="D12" s="23" t="s">
        <v>20</v>
      </c>
    </row>
    <row r="13" spans="3:5" ht="16.8" x14ac:dyDescent="0.4">
      <c r="C13" s="2" t="s">
        <v>6</v>
      </c>
      <c r="D13" s="23" t="s">
        <v>21</v>
      </c>
    </row>
    <row r="14" spans="3:5" ht="16.8" x14ac:dyDescent="0.4">
      <c r="C14" s="3" t="s">
        <v>7</v>
      </c>
      <c r="D14" s="24">
        <v>12334480</v>
      </c>
    </row>
    <row r="15" spans="3:5" ht="16.8" x14ac:dyDescent="0.4">
      <c r="C15" s="2" t="s">
        <v>8</v>
      </c>
      <c r="D15" s="25">
        <v>1239335685</v>
      </c>
    </row>
    <row r="16" spans="3:5" ht="16.8" x14ac:dyDescent="0.4">
      <c r="C16" s="2" t="s">
        <v>9</v>
      </c>
      <c r="D16" s="26">
        <v>12988877342</v>
      </c>
    </row>
    <row r="17" spans="3:4" ht="16.8" x14ac:dyDescent="0.4">
      <c r="C17" s="3" t="s">
        <v>10</v>
      </c>
      <c r="D17" s="27" t="s">
        <v>19</v>
      </c>
    </row>
    <row r="18" spans="3:4" ht="16.8" x14ac:dyDescent="0.4">
      <c r="C18" s="2" t="s">
        <v>11</v>
      </c>
      <c r="D18" s="23" t="s">
        <v>16</v>
      </c>
    </row>
    <row r="19" spans="3:4" ht="16.8" x14ac:dyDescent="0.4">
      <c r="C19" s="3" t="s">
        <v>12</v>
      </c>
      <c r="D19" s="28" t="s">
        <v>17</v>
      </c>
    </row>
    <row r="20" spans="3:4" ht="16.8" x14ac:dyDescent="0.4">
      <c r="C20" s="3" t="s">
        <v>13</v>
      </c>
      <c r="D20" s="28" t="s">
        <v>17</v>
      </c>
    </row>
  </sheetData>
  <sheetProtection sheet="1" objects="1" scenarios="1" selectLockedCells="1"/>
  <mergeCells count="1">
    <mergeCell ref="C5:E5"/>
  </mergeCells>
  <dataValidations count="1">
    <dataValidation type="list" allowBlank="1" showInputMessage="1" showErrorMessage="1" sqref="D18:D20" xr:uid="{D8001202-EFC1-401F-AD3D-2DC9C56A6B4A}">
      <formula1>"SIM,NÃO"</formula1>
    </dataValidation>
  </dataValidations>
  <hyperlinks>
    <hyperlink ref="D17" r:id="rId1" xr:uid="{4D45D628-DD4F-41B6-8249-F86A802638BF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9C8B9-0CAA-4A7E-BE81-711925D0CBD4}">
  <sheetPr codeName="Planilha2"/>
  <dimension ref="A4:E24"/>
  <sheetViews>
    <sheetView showGridLines="0" zoomScale="120" zoomScaleNormal="120" workbookViewId="0">
      <selection activeCell="D19" sqref="D19"/>
    </sheetView>
  </sheetViews>
  <sheetFormatPr defaultRowHeight="14.4" x14ac:dyDescent="0.3"/>
  <cols>
    <col min="1" max="1" width="35.33203125" style="6" customWidth="1"/>
    <col min="3" max="3" width="42.88671875" customWidth="1"/>
    <col min="4" max="4" width="35.6640625" customWidth="1"/>
  </cols>
  <sheetData>
    <row r="4" spans="3:5" ht="20.399999999999999" thickBot="1" x14ac:dyDescent="0.45">
      <c r="C4" s="5" t="s">
        <v>23</v>
      </c>
      <c r="D4" s="4"/>
      <c r="E4" s="4"/>
    </row>
    <row r="5" spans="3:5" ht="15" thickTop="1" x14ac:dyDescent="0.3">
      <c r="C5" s="7" t="s">
        <v>24</v>
      </c>
      <c r="D5" s="7"/>
      <c r="E5" s="7"/>
    </row>
    <row r="6" spans="3:5" x14ac:dyDescent="0.3">
      <c r="C6" s="12"/>
      <c r="D6" s="12"/>
      <c r="E6" s="12"/>
    </row>
    <row r="7" spans="3:5" ht="16.8" x14ac:dyDescent="0.4">
      <c r="C7" s="15" t="s">
        <v>83</v>
      </c>
    </row>
    <row r="8" spans="3:5" x14ac:dyDescent="0.3">
      <c r="C8" s="13">
        <f>SUM(D13,D18,D23,)</f>
        <v>1113848</v>
      </c>
      <c r="D8" s="14"/>
    </row>
    <row r="11" spans="3:5" x14ac:dyDescent="0.3">
      <c r="C11" s="16" t="s">
        <v>80</v>
      </c>
    </row>
    <row r="12" spans="3:5" ht="16.8" x14ac:dyDescent="0.4">
      <c r="C12" s="2" t="s">
        <v>25</v>
      </c>
      <c r="D12" s="20" t="s">
        <v>44</v>
      </c>
    </row>
    <row r="13" spans="3:5" ht="16.8" x14ac:dyDescent="0.4">
      <c r="C13" s="2" t="s">
        <v>26</v>
      </c>
      <c r="D13" s="29">
        <v>500000</v>
      </c>
    </row>
    <row r="14" spans="3:5" ht="16.8" x14ac:dyDescent="0.4">
      <c r="C14" s="8" t="s">
        <v>27</v>
      </c>
      <c r="D14" s="30" t="s">
        <v>28</v>
      </c>
    </row>
    <row r="15" spans="3:5" ht="16.8" x14ac:dyDescent="0.4">
      <c r="C15" s="9"/>
      <c r="D15" s="10"/>
    </row>
    <row r="16" spans="3:5" x14ac:dyDescent="0.3">
      <c r="C16" s="16" t="s">
        <v>81</v>
      </c>
    </row>
    <row r="17" spans="3:4" ht="16.8" x14ac:dyDescent="0.4">
      <c r="C17" s="2" t="s">
        <v>25</v>
      </c>
      <c r="D17" s="20" t="s">
        <v>40</v>
      </c>
    </row>
    <row r="18" spans="3:4" ht="16.8" x14ac:dyDescent="0.4">
      <c r="C18" s="2" t="s">
        <v>26</v>
      </c>
      <c r="D18" s="29">
        <v>256874</v>
      </c>
    </row>
    <row r="19" spans="3:4" ht="16.8" x14ac:dyDescent="0.4">
      <c r="C19" s="8" t="s">
        <v>27</v>
      </c>
      <c r="D19" s="30" t="s">
        <v>28</v>
      </c>
    </row>
    <row r="21" spans="3:4" x14ac:dyDescent="0.3">
      <c r="C21" s="16" t="s">
        <v>82</v>
      </c>
    </row>
    <row r="22" spans="3:4" ht="16.8" x14ac:dyDescent="0.4">
      <c r="C22" s="2" t="s">
        <v>25</v>
      </c>
      <c r="D22" s="20" t="s">
        <v>50</v>
      </c>
    </row>
    <row r="23" spans="3:4" ht="16.8" x14ac:dyDescent="0.4">
      <c r="C23" s="2" t="s">
        <v>26</v>
      </c>
      <c r="D23" s="29">
        <v>356974</v>
      </c>
    </row>
    <row r="24" spans="3:4" ht="16.8" x14ac:dyDescent="0.4">
      <c r="C24" s="8" t="s">
        <v>27</v>
      </c>
      <c r="D24" s="30" t="s">
        <v>28</v>
      </c>
    </row>
  </sheetData>
  <sheetProtection sheet="1" objects="1" scenarios="1" selectLockedCells="1"/>
  <mergeCells count="2">
    <mergeCell ref="C5:E5"/>
    <mergeCell ref="C8:D8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Banco não encontrado" promptTitle="Informe um Banco" prompt="Informe um banco vinculado ao seu CPF" xr:uid="{D4C4FB5E-7CC0-4638-BF8B-F94BDCFC1990}">
          <x14:formula1>
            <xm:f>TABELAS!$A:$A</xm:f>
          </x14:formula1>
          <xm:sqref>D12 D17 D22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9CBAC-1F2B-4FC2-B87A-A6BE56E6413A}">
  <sheetPr codeName="Planilha3"/>
  <dimension ref="A3:E33"/>
  <sheetViews>
    <sheetView showGridLines="0" tabSelected="1" topLeftCell="A3" zoomScale="120" zoomScaleNormal="120" workbookViewId="0">
      <selection activeCell="L8" sqref="L8"/>
    </sheetView>
  </sheetViews>
  <sheetFormatPr defaultRowHeight="14.4" x14ac:dyDescent="0.3"/>
  <cols>
    <col min="1" max="1" width="35.33203125" style="6" customWidth="1"/>
    <col min="3" max="3" width="29.109375" customWidth="1"/>
    <col min="4" max="4" width="35.6640625" customWidth="1"/>
    <col min="5" max="5" width="17.33203125" customWidth="1"/>
    <col min="7" max="7" width="17.88671875" customWidth="1"/>
  </cols>
  <sheetData>
    <row r="3" spans="3:5" ht="20.399999999999999" thickBot="1" x14ac:dyDescent="0.45">
      <c r="C3" s="5" t="s">
        <v>84</v>
      </c>
      <c r="D3" s="4"/>
      <c r="E3" s="4"/>
    </row>
    <row r="4" spans="3:5" ht="15" thickTop="1" x14ac:dyDescent="0.3">
      <c r="C4" s="7" t="s">
        <v>85</v>
      </c>
      <c r="D4" s="7"/>
      <c r="E4" s="7"/>
    </row>
    <row r="8" spans="3:5" ht="16.8" x14ac:dyDescent="0.4">
      <c r="C8" s="19" t="s">
        <v>89</v>
      </c>
      <c r="D8" s="19"/>
      <c r="E8" s="19"/>
    </row>
    <row r="9" spans="3:5" x14ac:dyDescent="0.3">
      <c r="C9" s="17" t="s">
        <v>86</v>
      </c>
      <c r="D9" s="17" t="s">
        <v>87</v>
      </c>
      <c r="E9" s="17" t="s">
        <v>88</v>
      </c>
    </row>
    <row r="10" spans="3:5" x14ac:dyDescent="0.3">
      <c r="C10" s="31">
        <v>45775</v>
      </c>
      <c r="D10" s="32" t="s">
        <v>90</v>
      </c>
      <c r="E10" s="33">
        <v>3000</v>
      </c>
    </row>
    <row r="11" spans="3:5" x14ac:dyDescent="0.3">
      <c r="C11" s="31">
        <v>45394</v>
      </c>
      <c r="D11" s="32" t="s">
        <v>91</v>
      </c>
      <c r="E11" s="33">
        <v>5000</v>
      </c>
    </row>
    <row r="12" spans="3:5" x14ac:dyDescent="0.3">
      <c r="C12" s="31">
        <v>45397</v>
      </c>
      <c r="D12" s="32" t="s">
        <v>91</v>
      </c>
      <c r="E12" s="33">
        <v>2500</v>
      </c>
    </row>
    <row r="13" spans="3:5" x14ac:dyDescent="0.3">
      <c r="C13" s="31">
        <v>45410</v>
      </c>
      <c r="D13" s="32" t="s">
        <v>91</v>
      </c>
      <c r="E13" s="33">
        <v>3751.3</v>
      </c>
    </row>
    <row r="14" spans="3:5" x14ac:dyDescent="0.3">
      <c r="C14" s="31">
        <v>45384</v>
      </c>
      <c r="D14" s="32" t="s">
        <v>92</v>
      </c>
      <c r="E14" s="33">
        <v>780</v>
      </c>
    </row>
    <row r="15" spans="3:5" x14ac:dyDescent="0.3">
      <c r="C15" s="31">
        <v>45392</v>
      </c>
      <c r="D15" s="32" t="s">
        <v>92</v>
      </c>
      <c r="E15" s="33">
        <v>500</v>
      </c>
    </row>
    <row r="16" spans="3:5" x14ac:dyDescent="0.3">
      <c r="C16" s="32"/>
      <c r="D16" s="32"/>
      <c r="E16" s="33"/>
    </row>
    <row r="17" spans="3:5" x14ac:dyDescent="0.3">
      <c r="C17" s="32"/>
      <c r="D17" s="32"/>
      <c r="E17" s="33"/>
    </row>
    <row r="18" spans="3:5" x14ac:dyDescent="0.3">
      <c r="C18" s="32"/>
      <c r="D18" s="32"/>
      <c r="E18" s="33"/>
    </row>
    <row r="19" spans="3:5" x14ac:dyDescent="0.3">
      <c r="C19" s="32"/>
      <c r="D19" s="32"/>
      <c r="E19" s="33"/>
    </row>
    <row r="20" spans="3:5" x14ac:dyDescent="0.3">
      <c r="C20" s="32"/>
      <c r="D20" s="32"/>
      <c r="E20" s="33"/>
    </row>
    <row r="21" spans="3:5" x14ac:dyDescent="0.3">
      <c r="C21" s="32"/>
      <c r="D21" s="32"/>
      <c r="E21" s="33"/>
    </row>
    <row r="22" spans="3:5" x14ac:dyDescent="0.3">
      <c r="C22" s="32"/>
      <c r="D22" s="32"/>
      <c r="E22" s="33"/>
    </row>
    <row r="23" spans="3:5" x14ac:dyDescent="0.3">
      <c r="C23" s="32"/>
      <c r="D23" s="32"/>
      <c r="E23" s="33"/>
    </row>
    <row r="24" spans="3:5" x14ac:dyDescent="0.3">
      <c r="C24" s="32"/>
      <c r="D24" s="32"/>
      <c r="E24" s="33"/>
    </row>
    <row r="25" spans="3:5" x14ac:dyDescent="0.3">
      <c r="C25" s="32"/>
      <c r="D25" s="32"/>
      <c r="E25" s="33"/>
    </row>
    <row r="26" spans="3:5" x14ac:dyDescent="0.3">
      <c r="C26" s="32"/>
      <c r="D26" s="32"/>
      <c r="E26" s="33"/>
    </row>
    <row r="27" spans="3:5" x14ac:dyDescent="0.3">
      <c r="C27" s="32"/>
      <c r="D27" s="32"/>
      <c r="E27" s="33"/>
    </row>
    <row r="28" spans="3:5" x14ac:dyDescent="0.3">
      <c r="C28" s="32"/>
      <c r="D28" s="32"/>
      <c r="E28" s="33"/>
    </row>
    <row r="29" spans="3:5" x14ac:dyDescent="0.3">
      <c r="C29" s="32"/>
      <c r="D29" s="32"/>
      <c r="E29" s="33"/>
    </row>
    <row r="30" spans="3:5" x14ac:dyDescent="0.3">
      <c r="C30" s="32"/>
      <c r="D30" s="32"/>
      <c r="E30" s="33"/>
    </row>
    <row r="31" spans="3:5" x14ac:dyDescent="0.3">
      <c r="C31" s="32"/>
      <c r="D31" s="32"/>
      <c r="E31" s="33"/>
    </row>
    <row r="32" spans="3:5" x14ac:dyDescent="0.3">
      <c r="C32" s="32"/>
      <c r="D32" s="32"/>
      <c r="E32" s="33"/>
    </row>
    <row r="33" spans="5:5" x14ac:dyDescent="0.3">
      <c r="E33" s="18"/>
    </row>
  </sheetData>
  <sheetProtection selectLockedCells="1"/>
  <mergeCells count="2">
    <mergeCell ref="C4:E4"/>
    <mergeCell ref="C8:E8"/>
  </mergeCells>
  <dataValidations count="2">
    <dataValidation type="list" allowBlank="1" showInputMessage="1" showErrorMessage="1" sqref="D10" xr:uid="{B46FA754-DDF2-4FC1-8936-6F973883D053}">
      <formula1>"HOLERITE,CNP,FREELANCE"</formula1>
    </dataValidation>
    <dataValidation type="list" allowBlank="1" showInputMessage="1" showErrorMessage="1" sqref="D11:D32" xr:uid="{B543EAC4-9A3A-4707-8E96-8B806D457353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34015-CF27-4BCB-94CD-DFE19A204069}">
  <dimension ref="A1:B51"/>
  <sheetViews>
    <sheetView workbookViewId="0">
      <selection activeCell="F8" sqref="F8"/>
    </sheetView>
  </sheetViews>
  <sheetFormatPr defaultRowHeight="14.4" x14ac:dyDescent="0.3"/>
  <sheetData>
    <row r="1" spans="1:2" x14ac:dyDescent="0.3">
      <c r="A1" s="11" t="s">
        <v>29</v>
      </c>
      <c r="B1" s="11"/>
    </row>
    <row r="2" spans="1:2" x14ac:dyDescent="0.3">
      <c r="A2" t="s">
        <v>30</v>
      </c>
    </row>
    <row r="3" spans="1:2" x14ac:dyDescent="0.3">
      <c r="A3" t="s">
        <v>31</v>
      </c>
    </row>
    <row r="4" spans="1:2" x14ac:dyDescent="0.3">
      <c r="A4" t="s">
        <v>32</v>
      </c>
    </row>
    <row r="5" spans="1:2" x14ac:dyDescent="0.3">
      <c r="A5" t="s">
        <v>33</v>
      </c>
    </row>
    <row r="6" spans="1:2" x14ac:dyDescent="0.3">
      <c r="A6" t="s">
        <v>34</v>
      </c>
    </row>
    <row r="7" spans="1:2" x14ac:dyDescent="0.3">
      <c r="A7" t="s">
        <v>35</v>
      </c>
    </row>
    <row r="8" spans="1:2" x14ac:dyDescent="0.3">
      <c r="A8" t="s">
        <v>36</v>
      </c>
    </row>
    <row r="9" spans="1:2" x14ac:dyDescent="0.3">
      <c r="A9" t="s">
        <v>37</v>
      </c>
    </row>
    <row r="10" spans="1:2" x14ac:dyDescent="0.3">
      <c r="A10" t="s">
        <v>38</v>
      </c>
    </row>
    <row r="11" spans="1:2" x14ac:dyDescent="0.3">
      <c r="A11" t="s">
        <v>39</v>
      </c>
    </row>
    <row r="12" spans="1:2" x14ac:dyDescent="0.3">
      <c r="A12" t="s">
        <v>40</v>
      </c>
    </row>
    <row r="13" spans="1:2" x14ac:dyDescent="0.3">
      <c r="A13" t="s">
        <v>41</v>
      </c>
    </row>
    <row r="14" spans="1:2" x14ac:dyDescent="0.3">
      <c r="A14" t="s">
        <v>42</v>
      </c>
    </row>
    <row r="15" spans="1:2" x14ac:dyDescent="0.3">
      <c r="A15" t="s">
        <v>43</v>
      </c>
    </row>
    <row r="16" spans="1:2" x14ac:dyDescent="0.3">
      <c r="A16" t="s">
        <v>44</v>
      </c>
    </row>
    <row r="17" spans="1:1" x14ac:dyDescent="0.3">
      <c r="A17" t="s">
        <v>45</v>
      </c>
    </row>
    <row r="18" spans="1:1" x14ac:dyDescent="0.3">
      <c r="A18" t="s">
        <v>46</v>
      </c>
    </row>
    <row r="19" spans="1:1" x14ac:dyDescent="0.3">
      <c r="A19" t="s">
        <v>47</v>
      </c>
    </row>
    <row r="20" spans="1:1" x14ac:dyDescent="0.3">
      <c r="A20" t="s">
        <v>48</v>
      </c>
    </row>
    <row r="21" spans="1:1" x14ac:dyDescent="0.3">
      <c r="A21" t="s">
        <v>49</v>
      </c>
    </row>
    <row r="22" spans="1:1" x14ac:dyDescent="0.3">
      <c r="A22" t="s">
        <v>50</v>
      </c>
    </row>
    <row r="23" spans="1:1" x14ac:dyDescent="0.3">
      <c r="A23" t="s">
        <v>51</v>
      </c>
    </row>
    <row r="24" spans="1:1" x14ac:dyDescent="0.3">
      <c r="A24" t="s">
        <v>52</v>
      </c>
    </row>
    <row r="25" spans="1:1" x14ac:dyDescent="0.3">
      <c r="A25" t="s">
        <v>53</v>
      </c>
    </row>
    <row r="26" spans="1:1" x14ac:dyDescent="0.3">
      <c r="A26" t="s">
        <v>54</v>
      </c>
    </row>
    <row r="27" spans="1:1" x14ac:dyDescent="0.3">
      <c r="A27" t="s">
        <v>55</v>
      </c>
    </row>
    <row r="28" spans="1:1" x14ac:dyDescent="0.3">
      <c r="A28" t="s">
        <v>56</v>
      </c>
    </row>
    <row r="29" spans="1:1" x14ac:dyDescent="0.3">
      <c r="A29" t="s">
        <v>57</v>
      </c>
    </row>
    <row r="30" spans="1:1" x14ac:dyDescent="0.3">
      <c r="A30" t="s">
        <v>58</v>
      </c>
    </row>
    <row r="31" spans="1:1" x14ac:dyDescent="0.3">
      <c r="A31" t="s">
        <v>59</v>
      </c>
    </row>
    <row r="32" spans="1:1" x14ac:dyDescent="0.3">
      <c r="A32" t="s">
        <v>60</v>
      </c>
    </row>
    <row r="33" spans="1:1" x14ac:dyDescent="0.3">
      <c r="A33" t="s">
        <v>61</v>
      </c>
    </row>
    <row r="34" spans="1:1" x14ac:dyDescent="0.3">
      <c r="A34" t="s">
        <v>62</v>
      </c>
    </row>
    <row r="35" spans="1:1" x14ac:dyDescent="0.3">
      <c r="A35" t="s">
        <v>63</v>
      </c>
    </row>
    <row r="36" spans="1:1" x14ac:dyDescent="0.3">
      <c r="A36" t="s">
        <v>64</v>
      </c>
    </row>
    <row r="37" spans="1:1" x14ac:dyDescent="0.3">
      <c r="A37" t="s">
        <v>65</v>
      </c>
    </row>
    <row r="38" spans="1:1" x14ac:dyDescent="0.3">
      <c r="A38" t="s">
        <v>66</v>
      </c>
    </row>
    <row r="39" spans="1:1" x14ac:dyDescent="0.3">
      <c r="A39" t="s">
        <v>67</v>
      </c>
    </row>
    <row r="40" spans="1:1" x14ac:dyDescent="0.3">
      <c r="A40" t="s">
        <v>68</v>
      </c>
    </row>
    <row r="41" spans="1:1" x14ac:dyDescent="0.3">
      <c r="A41" t="s">
        <v>69</v>
      </c>
    </row>
    <row r="42" spans="1:1" x14ac:dyDescent="0.3">
      <c r="A42" t="s">
        <v>70</v>
      </c>
    </row>
    <row r="43" spans="1:1" x14ac:dyDescent="0.3">
      <c r="A43" t="s">
        <v>71</v>
      </c>
    </row>
    <row r="44" spans="1:1" x14ac:dyDescent="0.3">
      <c r="A44" t="s">
        <v>72</v>
      </c>
    </row>
    <row r="45" spans="1:1" x14ac:dyDescent="0.3">
      <c r="A45" t="s">
        <v>73</v>
      </c>
    </row>
    <row r="46" spans="1:1" x14ac:dyDescent="0.3">
      <c r="A46" t="s">
        <v>74</v>
      </c>
    </row>
    <row r="47" spans="1:1" x14ac:dyDescent="0.3">
      <c r="A47" t="s">
        <v>75</v>
      </c>
    </row>
    <row r="48" spans="1:1" x14ac:dyDescent="0.3">
      <c r="A48" t="s">
        <v>76</v>
      </c>
    </row>
    <row r="49" spans="1:1" x14ac:dyDescent="0.3">
      <c r="A49" t="s">
        <v>77</v>
      </c>
    </row>
    <row r="50" spans="1:1" x14ac:dyDescent="0.3">
      <c r="A50" t="s">
        <v>78</v>
      </c>
    </row>
    <row r="51" spans="1:1" x14ac:dyDescent="0.3">
      <c r="A51" t="s">
        <v>79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Juliana Dantas Piasentin</dc:creator>
  <cp:lastModifiedBy>Juliana Dantas Piasentin</cp:lastModifiedBy>
  <dcterms:created xsi:type="dcterms:W3CDTF">2026-10-06T17:55:07Z</dcterms:created>
  <dcterms:modified xsi:type="dcterms:W3CDTF">2026-10-07T21:27:19Z</dcterms:modified>
</cp:coreProperties>
</file>